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excel/lista 2.1/"/>
    </mc:Choice>
  </mc:AlternateContent>
  <xr:revisionPtr revIDLastSave="375" documentId="11_AD4DADEC636C813AC809E421381956F05BDEDD8A" xr6:coauthVersionLast="47" xr6:coauthVersionMax="47" xr10:uidLastSave="{8E67AAF0-2C79-400B-8881-FDCB04DD0554}"/>
  <bookViews>
    <workbookView xWindow="-108" yWindow="-108" windowWidth="23256" windowHeight="12456" activeTab="8" xr2:uid="{00000000-000D-0000-FFFF-FFFF00000000}"/>
  </bookViews>
  <sheets>
    <sheet name="zad1" sheetId="1" r:id="rId1"/>
    <sheet name="zad2" sheetId="2" r:id="rId2"/>
    <sheet name="zad3" sheetId="3" r:id="rId3"/>
    <sheet name="zad4" sheetId="4" r:id="rId4"/>
    <sheet name="zad5" sheetId="5" r:id="rId5"/>
    <sheet name="zad6" sheetId="6" r:id="rId6"/>
    <sheet name="zad7" sheetId="7" r:id="rId7"/>
    <sheet name="zad8" sheetId="8" r:id="rId8"/>
    <sheet name="zad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9" l="1"/>
  <c r="E8" i="8"/>
  <c r="B1" i="7"/>
  <c r="F7" i="6"/>
  <c r="B3" i="5"/>
  <c r="B1" i="4"/>
  <c r="E5" i="3"/>
  <c r="B1" i="2"/>
  <c r="B1" i="1"/>
</calcChain>
</file>

<file path=xl/sharedStrings.xml><?xml version="1.0" encoding="utf-8"?>
<sst xmlns="http://schemas.openxmlformats.org/spreadsheetml/2006/main" count="9" uniqueCount="1">
  <si>
    <t>Wynik: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</si>
</sst>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0" fillId="0" borderId="7" xfId="0" applyBorder="1"/>
    <xf numFmtId="0" fontId="0" fillId="0" borderId="15" xfId="0" applyBorder="1"/>
    <xf numFmtId="0" fontId="0" fillId="0" borderId="10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2" t="s">
        <v>0</v>
      </c>
      <c r="B1" s="3">
        <f>SUM(1478,5289)</f>
        <v>6767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A890-EF14-42B8-ABAF-7FBD03C78D17}">
  <dimension ref="A1:B1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2" t="s">
        <v>0</v>
      </c>
      <c r="B1" s="3">
        <f>SUM(2989,-4126,2138)</f>
        <v>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0234-AB4C-4E71-A28F-D52B42A6080D}">
  <dimension ref="A1:E5"/>
  <sheetViews>
    <sheetView workbookViewId="0">
      <selection activeCell="E6" sqref="E6"/>
    </sheetView>
  </sheetViews>
  <sheetFormatPr defaultRowHeight="14.4" x14ac:dyDescent="0.3"/>
  <sheetData>
    <row r="1" spans="1:5" x14ac:dyDescent="0.3">
      <c r="A1" s="1">
        <v>421</v>
      </c>
    </row>
    <row r="2" spans="1:5" x14ac:dyDescent="0.3">
      <c r="C2" s="1">
        <v>246</v>
      </c>
    </row>
    <row r="3" spans="1:5" x14ac:dyDescent="0.3">
      <c r="E3" s="1">
        <v>1471</v>
      </c>
    </row>
    <row r="5" spans="1:5" x14ac:dyDescent="0.3">
      <c r="D5" s="2" t="s">
        <v>0</v>
      </c>
      <c r="E5" s="3">
        <f>SUM(A1,C2,E3)</f>
        <v>2138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5688-4E34-4E25-AE3E-328E51F4F021}">
  <dimension ref="A1:CQ333"/>
  <sheetViews>
    <sheetView workbookViewId="0">
      <selection activeCell="B2" sqref="B2"/>
    </sheetView>
  </sheetViews>
  <sheetFormatPr defaultRowHeight="14.4" x14ac:dyDescent="0.3"/>
  <cols>
    <col min="2" max="2" width="9.109375" bestFit="1" customWidth="1"/>
  </cols>
  <sheetData>
    <row r="1" spans="1:26" x14ac:dyDescent="0.3">
      <c r="A1" s="2" t="s">
        <v>0</v>
      </c>
      <c r="B1" s="3">
        <f>SUM(K4,Z9,AR73,CQ333)</f>
        <v>200000</v>
      </c>
    </row>
    <row r="4" spans="1:26" x14ac:dyDescent="0.3">
      <c r="K4" s="1">
        <v>21719</v>
      </c>
    </row>
    <row r="9" spans="1:26" x14ac:dyDescent="0.3">
      <c r="Z9" s="1">
        <v>-2679</v>
      </c>
    </row>
    <row r="73" spans="44:44" x14ac:dyDescent="0.3">
      <c r="AR73" s="1">
        <v>197190</v>
      </c>
    </row>
    <row r="333" spans="95:95" x14ac:dyDescent="0.3">
      <c r="CQ333" s="1">
        <v>-16230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7B78-CAE5-4036-9C52-1BBDE351CC42}">
  <dimension ref="A1:J3"/>
  <sheetViews>
    <sheetView workbookViewId="0">
      <selection activeCell="B4" sqref="B4"/>
    </sheetView>
  </sheetViews>
  <sheetFormatPr defaultRowHeight="14.4" x14ac:dyDescent="0.3"/>
  <sheetData>
    <row r="1" spans="1:10" x14ac:dyDescent="0.3">
      <c r="A1" s="2">
        <v>1</v>
      </c>
      <c r="B1" s="6">
        <v>2</v>
      </c>
      <c r="C1" s="6">
        <v>3</v>
      </c>
      <c r="D1" s="6">
        <v>4</v>
      </c>
      <c r="E1" s="6">
        <v>5</v>
      </c>
      <c r="F1" s="6">
        <v>6</v>
      </c>
      <c r="G1" s="6">
        <v>7</v>
      </c>
      <c r="H1" s="6">
        <v>8</v>
      </c>
      <c r="I1" s="6">
        <v>9</v>
      </c>
      <c r="J1" s="3">
        <v>10</v>
      </c>
    </row>
    <row r="3" spans="1:10" x14ac:dyDescent="0.3">
      <c r="A3" s="2" t="s">
        <v>0</v>
      </c>
      <c r="B3" s="3">
        <f>SUM(A1:J1)</f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8608-2F08-44BE-B1DD-46F601FAA5C0}">
  <dimension ref="A1:F7"/>
  <sheetViews>
    <sheetView workbookViewId="0">
      <selection activeCell="F7" sqref="F7"/>
    </sheetView>
  </sheetViews>
  <sheetFormatPr defaultRowHeight="14.4" x14ac:dyDescent="0.3"/>
  <sheetData>
    <row r="1" spans="1:6" x14ac:dyDescent="0.3">
      <c r="B1" s="12"/>
      <c r="C1" s="12"/>
      <c r="D1" s="12"/>
      <c r="E1" s="12"/>
      <c r="F1" s="12"/>
    </row>
    <row r="2" spans="1:6" x14ac:dyDescent="0.3">
      <c r="A2" s="13"/>
      <c r="B2" s="7">
        <v>89</v>
      </c>
      <c r="C2" s="11">
        <v>55</v>
      </c>
      <c r="D2" s="11">
        <v>34</v>
      </c>
      <c r="E2" s="11">
        <v>21</v>
      </c>
      <c r="F2" s="17">
        <v>13</v>
      </c>
    </row>
    <row r="3" spans="1:6" x14ac:dyDescent="0.3">
      <c r="A3" s="13"/>
      <c r="B3" s="9">
        <v>144</v>
      </c>
      <c r="D3" s="12"/>
      <c r="E3" s="20"/>
      <c r="F3" s="17">
        <v>8</v>
      </c>
    </row>
    <row r="4" spans="1:6" x14ac:dyDescent="0.3">
      <c r="A4" s="13"/>
      <c r="B4" s="9">
        <v>233</v>
      </c>
      <c r="C4" s="13"/>
      <c r="D4" s="8">
        <v>1</v>
      </c>
      <c r="E4" s="21"/>
      <c r="F4" s="17">
        <v>5</v>
      </c>
    </row>
    <row r="5" spans="1:6" x14ac:dyDescent="0.3">
      <c r="A5" s="13"/>
      <c r="B5" s="10">
        <v>377</v>
      </c>
      <c r="C5" s="13"/>
      <c r="D5" s="14">
        <v>1</v>
      </c>
      <c r="E5" s="15">
        <v>2</v>
      </c>
      <c r="F5" s="16">
        <v>3</v>
      </c>
    </row>
    <row r="7" spans="1:6" x14ac:dyDescent="0.3">
      <c r="E7" s="2" t="s">
        <v>0</v>
      </c>
      <c r="F7" s="3">
        <f>SUM(B2:B5,C2:F2,F3:F5,D5:E5,D4)</f>
        <v>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AB86-DE54-479C-ACDF-9C5ABFF3EFA2}">
  <dimension ref="A1:CF407"/>
  <sheetViews>
    <sheetView workbookViewId="0">
      <selection activeCell="B2" sqref="B2"/>
    </sheetView>
  </sheetViews>
  <sheetFormatPr defaultRowHeight="14.4" x14ac:dyDescent="0.3"/>
  <sheetData>
    <row r="1" spans="1:68" x14ac:dyDescent="0.3">
      <c r="A1" s="2" t="s">
        <v>0</v>
      </c>
      <c r="B1" s="3">
        <f>SUM(BL4:BP4,CF148:CF167,AX407)</f>
        <v>31150</v>
      </c>
    </row>
    <row r="4" spans="1:68" x14ac:dyDescent="0.3">
      <c r="BL4" s="2">
        <v>10</v>
      </c>
      <c r="BM4" s="6">
        <v>20</v>
      </c>
      <c r="BN4" s="6">
        <v>30</v>
      </c>
      <c r="BO4" s="6">
        <v>40</v>
      </c>
      <c r="BP4" s="3">
        <v>50</v>
      </c>
    </row>
    <row r="148" spans="84:84" x14ac:dyDescent="0.3">
      <c r="CF148" s="4">
        <v>100</v>
      </c>
    </row>
    <row r="149" spans="84:84" x14ac:dyDescent="0.3">
      <c r="CF149" s="22">
        <v>200</v>
      </c>
    </row>
    <row r="150" spans="84:84" x14ac:dyDescent="0.3">
      <c r="CF150" s="22">
        <v>300</v>
      </c>
    </row>
    <row r="151" spans="84:84" x14ac:dyDescent="0.3">
      <c r="CF151" s="22">
        <v>400</v>
      </c>
    </row>
    <row r="152" spans="84:84" x14ac:dyDescent="0.3">
      <c r="CF152" s="22">
        <v>500</v>
      </c>
    </row>
    <row r="153" spans="84:84" x14ac:dyDescent="0.3">
      <c r="CF153" s="22">
        <v>600</v>
      </c>
    </row>
    <row r="154" spans="84:84" x14ac:dyDescent="0.3">
      <c r="CF154" s="22">
        <v>700</v>
      </c>
    </row>
    <row r="155" spans="84:84" x14ac:dyDescent="0.3">
      <c r="CF155" s="22">
        <v>800</v>
      </c>
    </row>
    <row r="156" spans="84:84" x14ac:dyDescent="0.3">
      <c r="CF156" s="22">
        <v>900</v>
      </c>
    </row>
    <row r="157" spans="84:84" x14ac:dyDescent="0.3">
      <c r="CF157" s="22">
        <v>1000</v>
      </c>
    </row>
    <row r="158" spans="84:84" x14ac:dyDescent="0.3">
      <c r="CF158" s="22">
        <v>1100</v>
      </c>
    </row>
    <row r="159" spans="84:84" x14ac:dyDescent="0.3">
      <c r="CF159" s="22">
        <v>1200</v>
      </c>
    </row>
    <row r="160" spans="84:84" x14ac:dyDescent="0.3">
      <c r="CF160" s="22">
        <v>1300</v>
      </c>
    </row>
    <row r="161" spans="84:84" x14ac:dyDescent="0.3">
      <c r="CF161" s="22">
        <v>1400</v>
      </c>
    </row>
    <row r="162" spans="84:84" x14ac:dyDescent="0.3">
      <c r="CF162" s="22">
        <v>1500</v>
      </c>
    </row>
    <row r="163" spans="84:84" x14ac:dyDescent="0.3">
      <c r="CF163" s="22">
        <v>1600</v>
      </c>
    </row>
    <row r="164" spans="84:84" x14ac:dyDescent="0.3">
      <c r="CF164" s="22">
        <v>1700</v>
      </c>
    </row>
    <row r="165" spans="84:84" x14ac:dyDescent="0.3">
      <c r="CF165" s="22">
        <v>1800</v>
      </c>
    </row>
    <row r="166" spans="84:84" x14ac:dyDescent="0.3">
      <c r="CF166" s="22">
        <v>1900</v>
      </c>
    </row>
    <row r="167" spans="84:84" x14ac:dyDescent="0.3">
      <c r="CF167" s="5">
        <v>2000</v>
      </c>
    </row>
    <row r="407" spans="50:50" x14ac:dyDescent="0.3">
      <c r="AX407" s="1"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AF80-0FDF-4D2D-9609-E5253108CC14}">
  <dimension ref="B2:E8"/>
  <sheetViews>
    <sheetView workbookViewId="0">
      <selection activeCell="E9" sqref="E9"/>
    </sheetView>
  </sheetViews>
  <sheetFormatPr defaultRowHeight="14.4" x14ac:dyDescent="0.3"/>
  <sheetData>
    <row r="2" spans="2:5" x14ac:dyDescent="0.3">
      <c r="B2" s="18">
        <v>63</v>
      </c>
      <c r="C2" s="19">
        <v>36</v>
      </c>
      <c r="D2" s="19">
        <v>2</v>
      </c>
      <c r="E2" s="20">
        <v>42</v>
      </c>
    </row>
    <row r="3" spans="2:5" x14ac:dyDescent="0.3">
      <c r="B3" s="23">
        <v>21</v>
      </c>
      <c r="C3">
        <v>37</v>
      </c>
      <c r="D3">
        <v>-37</v>
      </c>
      <c r="E3" s="13">
        <v>88</v>
      </c>
    </row>
    <row r="4" spans="2:5" x14ac:dyDescent="0.3">
      <c r="B4" s="23">
        <v>-9</v>
      </c>
      <c r="C4">
        <v>1</v>
      </c>
      <c r="D4">
        <v>42</v>
      </c>
      <c r="E4" s="13">
        <v>0</v>
      </c>
    </row>
    <row r="5" spans="2:5" x14ac:dyDescent="0.3">
      <c r="B5" s="23">
        <v>79</v>
      </c>
      <c r="C5">
        <v>6</v>
      </c>
      <c r="D5">
        <v>7</v>
      </c>
      <c r="E5" s="13">
        <v>22</v>
      </c>
    </row>
    <row r="6" spans="2:5" x14ac:dyDescent="0.3">
      <c r="B6" s="24">
        <v>35</v>
      </c>
      <c r="C6" s="12">
        <v>-32</v>
      </c>
      <c r="D6" s="12">
        <v>56</v>
      </c>
      <c r="E6" s="21">
        <v>41</v>
      </c>
    </row>
    <row r="8" spans="2:5" x14ac:dyDescent="0.3">
      <c r="D8" s="2" t="s">
        <v>0</v>
      </c>
      <c r="E8" s="3">
        <f>SUM(B2:E6)</f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ECD7-09E6-4932-9B3D-7548193A6439}">
  <dimension ref="B2:I16"/>
  <sheetViews>
    <sheetView tabSelected="1" workbookViewId="0">
      <selection activeCell="Q10" sqref="Q10"/>
    </sheetView>
  </sheetViews>
  <sheetFormatPr defaultRowHeight="14.4" x14ac:dyDescent="0.3"/>
  <sheetData>
    <row r="2" spans="2:9" x14ac:dyDescent="0.3">
      <c r="D2" s="18">
        <v>63</v>
      </c>
      <c r="E2" s="19">
        <v>-57</v>
      </c>
      <c r="F2" s="19">
        <v>66</v>
      </c>
      <c r="G2" s="19">
        <v>83</v>
      </c>
      <c r="H2" s="19">
        <v>-4</v>
      </c>
      <c r="I2" s="20">
        <v>68</v>
      </c>
    </row>
    <row r="3" spans="2:9" x14ac:dyDescent="0.3">
      <c r="D3" s="23">
        <v>75</v>
      </c>
      <c r="E3">
        <v>77</v>
      </c>
      <c r="F3">
        <v>-75</v>
      </c>
      <c r="G3">
        <v>-36</v>
      </c>
      <c r="H3">
        <v>-7</v>
      </c>
      <c r="I3" s="13">
        <v>-55</v>
      </c>
    </row>
    <row r="4" spans="2:9" x14ac:dyDescent="0.3">
      <c r="D4" s="23">
        <v>81</v>
      </c>
      <c r="E4">
        <v>-18</v>
      </c>
      <c r="F4">
        <v>29</v>
      </c>
      <c r="G4">
        <v>48</v>
      </c>
      <c r="H4">
        <v>63</v>
      </c>
      <c r="I4" s="13">
        <v>13</v>
      </c>
    </row>
    <row r="5" spans="2:9" x14ac:dyDescent="0.3">
      <c r="D5" s="23">
        <v>-19</v>
      </c>
      <c r="E5">
        <v>-53</v>
      </c>
      <c r="F5">
        <v>-2</v>
      </c>
      <c r="G5">
        <v>-27</v>
      </c>
      <c r="H5">
        <v>-8</v>
      </c>
      <c r="I5" s="13">
        <v>-10</v>
      </c>
    </row>
    <row r="6" spans="2:9" x14ac:dyDescent="0.3">
      <c r="B6" s="18">
        <v>21</v>
      </c>
      <c r="C6" s="19">
        <v>83</v>
      </c>
      <c r="D6" s="18">
        <v>-50</v>
      </c>
      <c r="E6" s="19">
        <v>6</v>
      </c>
      <c r="F6" s="20">
        <v>6</v>
      </c>
      <c r="G6">
        <v>-12</v>
      </c>
      <c r="H6">
        <v>51</v>
      </c>
      <c r="I6" s="13">
        <v>-22</v>
      </c>
    </row>
    <row r="7" spans="2:9" x14ac:dyDescent="0.3">
      <c r="B7" s="23">
        <v>-55</v>
      </c>
      <c r="C7">
        <v>27</v>
      </c>
      <c r="D7" s="23">
        <v>-72</v>
      </c>
      <c r="E7">
        <v>41</v>
      </c>
      <c r="F7" s="13">
        <v>39</v>
      </c>
      <c r="G7">
        <v>71</v>
      </c>
      <c r="H7">
        <v>-75</v>
      </c>
      <c r="I7" s="13">
        <v>-41</v>
      </c>
    </row>
    <row r="8" spans="2:9" x14ac:dyDescent="0.3">
      <c r="B8" s="23">
        <v>-66</v>
      </c>
      <c r="C8">
        <v>22</v>
      </c>
      <c r="D8" s="23">
        <v>-89</v>
      </c>
      <c r="E8">
        <v>90</v>
      </c>
      <c r="F8" s="13">
        <v>-97</v>
      </c>
      <c r="G8">
        <v>-17</v>
      </c>
      <c r="H8">
        <v>71</v>
      </c>
      <c r="I8" s="13">
        <v>-82</v>
      </c>
    </row>
    <row r="9" spans="2:9" x14ac:dyDescent="0.3">
      <c r="B9" s="23">
        <v>-34</v>
      </c>
      <c r="C9">
        <v>70</v>
      </c>
      <c r="D9" s="23">
        <v>-75</v>
      </c>
      <c r="E9">
        <v>-98</v>
      </c>
      <c r="F9" s="13">
        <v>97</v>
      </c>
      <c r="G9">
        <v>-6</v>
      </c>
      <c r="H9">
        <v>-88</v>
      </c>
      <c r="I9" s="13">
        <v>-86</v>
      </c>
    </row>
    <row r="10" spans="2:9" x14ac:dyDescent="0.3">
      <c r="B10" s="23">
        <v>80</v>
      </c>
      <c r="C10">
        <v>-15</v>
      </c>
      <c r="D10" s="24">
        <v>97</v>
      </c>
      <c r="E10" s="12">
        <v>-62</v>
      </c>
      <c r="F10" s="21">
        <v>-2</v>
      </c>
      <c r="G10" s="12">
        <v>-78</v>
      </c>
      <c r="H10" s="12">
        <v>7</v>
      </c>
      <c r="I10" s="21">
        <v>56</v>
      </c>
    </row>
    <row r="11" spans="2:9" x14ac:dyDescent="0.3">
      <c r="B11" s="23">
        <v>-52</v>
      </c>
      <c r="C11">
        <v>41</v>
      </c>
      <c r="D11">
        <v>97</v>
      </c>
      <c r="E11">
        <v>96</v>
      </c>
      <c r="F11" s="13">
        <v>94</v>
      </c>
    </row>
    <row r="12" spans="2:9" x14ac:dyDescent="0.3">
      <c r="B12" s="23">
        <v>68</v>
      </c>
      <c r="C12">
        <v>5</v>
      </c>
      <c r="D12">
        <v>61</v>
      </c>
      <c r="E12">
        <v>82</v>
      </c>
      <c r="F12" s="13">
        <v>-62</v>
      </c>
    </row>
    <row r="13" spans="2:9" x14ac:dyDescent="0.3">
      <c r="B13" s="23">
        <v>-12</v>
      </c>
      <c r="C13">
        <v>-70</v>
      </c>
      <c r="D13">
        <v>-91</v>
      </c>
      <c r="E13">
        <v>-88</v>
      </c>
      <c r="F13" s="13">
        <v>18</v>
      </c>
    </row>
    <row r="14" spans="2:9" x14ac:dyDescent="0.3">
      <c r="B14" s="23">
        <v>91</v>
      </c>
      <c r="C14">
        <v>8</v>
      </c>
      <c r="D14">
        <v>98</v>
      </c>
      <c r="E14">
        <v>-14</v>
      </c>
      <c r="F14" s="13">
        <v>-3</v>
      </c>
      <c r="H14" s="2" t="s">
        <v>0</v>
      </c>
      <c r="I14" s="3">
        <f>SUM(D2:I10)+SUM(B6:F16)-SUM(D6:F10)</f>
        <v>777</v>
      </c>
    </row>
    <row r="15" spans="2:9" x14ac:dyDescent="0.3">
      <c r="B15" s="23">
        <v>90</v>
      </c>
      <c r="C15">
        <v>-38</v>
      </c>
      <c r="D15">
        <v>61</v>
      </c>
      <c r="E15">
        <v>84</v>
      </c>
      <c r="F15" s="13">
        <v>81</v>
      </c>
    </row>
    <row r="16" spans="2:9" x14ac:dyDescent="0.3">
      <c r="B16" s="24">
        <v>18</v>
      </c>
      <c r="C16" s="12">
        <v>99</v>
      </c>
      <c r="D16" s="12">
        <v>-32</v>
      </c>
      <c r="E16" s="12">
        <v>-18</v>
      </c>
      <c r="F16" s="2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zad1</vt:lpstr>
      <vt:lpstr>zad2</vt:lpstr>
      <vt:lpstr>zad3</vt:lpstr>
      <vt:lpstr>zad4</vt:lpstr>
      <vt:lpstr>zad5</vt:lpstr>
      <vt:lpstr>zad6</vt:lpstr>
      <vt:lpstr>zad7</vt:lpstr>
      <vt:lpstr>zad8</vt:lpstr>
      <vt:lpstr>zad9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Kajetan Olbryt</dc:creator>
  <cp:lastModifiedBy>Piotr Grzybowski</cp:lastModifiedBy>
  <dcterms:created xsi:type="dcterms:W3CDTF">2015-06-05T18:19:34Z</dcterms:created>
  <dcterms:modified xsi:type="dcterms:W3CDTF">2026-03-30T16:24:42Z</dcterms:modified>
</cp:coreProperties>
</file>